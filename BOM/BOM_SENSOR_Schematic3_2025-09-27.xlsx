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<sst xmlns="http://schemas.openxmlformats.org/spreadsheetml/2006/main" count="144" uniqueCount="66">
  <si>
    <t/>
  </si>
  <si>
    <t xml:space="preserve">Bill of Materials </t>
  </si>
  <si>
    <t>BOM_SENSOR_Schematic3_2025-09-27</t>
  </si>
  <si>
    <t>Project Title：</t>
  </si>
  <si>
    <t>LINEFOLLOWER V2</t>
  </si>
  <si>
    <t>Variant:</t>
  </si>
  <si>
    <t xml:space="preserve"> </t>
  </si>
  <si>
    <t>Report Time：</t>
  </si>
  <si>
    <t>2025年9月27日 20:44:58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</si>
  <si>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</si>
  <si>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</si>
  <si>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</si>
  <si>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</si>
  <si>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</si>
  <si>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</si>
  <si>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</si>
  <si>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</si>
  <si>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</si>
  <si>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</si>
  <si>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</si>
  <si>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</si>
  <si>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</si>
  <si>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C14, C15</t>
  </si>
  <si>
    <t>C0805</t>
  </si>
  <si>
    <t>B-2100S08P-A110</t>
  </si>
  <si>
    <t>H8</t>
  </si>
  <si>
    <t>HDR-TH_8P-P2.54-V-M</t>
  </si>
  <si>
    <t>Ckmtw(灿科盟)</t>
  </si>
  <si>
    <t>C124381</t>
  </si>
  <si>
    <t>LCSC</t>
  </si>
  <si>
    <t>LED_TH-R_3mm</t>
  </si>
  <si>
    <t>LED1, LED2, LED3, LED4, LED5, LED6, LED7, LED8, LED9, LED10, LED11, LED12, LED13, LED14, LED15, LED16</t>
  </si>
  <si>
    <t>LED-TH_BD3.0-P2.54-FD</t>
  </si>
  <si>
    <t>LED_TH-G_3mm</t>
  </si>
  <si>
    <t>PHOTO1, PHOTO2, PHOTO3, PHOTO4, PHOTO5, PHOTO6, PHOTO7, PHOTO8, PHOTO9, PHOTO10, PHOTO11, PHOTO12, PHOTO13, PHOTO14, PHOTO15, PHOTO16</t>
  </si>
  <si>
    <t>330</t>
  </si>
  <si>
    <t>R32, R34, R36, R38, R40, R42, R44, R46, R48, R50, R52, R54, R56, R58, R60, R62</t>
  </si>
  <si>
    <t>R0805</t>
  </si>
  <si>
    <t>PTFR0805B549RP9</t>
  </si>
  <si>
    <t>RESI(开步睿思)</t>
  </si>
  <si>
    <t>4K7</t>
  </si>
  <si>
    <t>R33, R35, R37, R39, R41, R43, R45, R47, R49, R51, R53, R55, R57, R59, R61, R63</t>
  </si>
  <si>
    <t>CD74HC4067SM96G4</t>
  </si>
  <si>
    <t>U2</t>
  </si>
  <si>
    <t>SSOP-24_L8.2-W5.3-P0.65-LS7.8-BL</t>
  </si>
  <si>
    <t>TI(德州仪器)</t>
  </si>
  <si>
    <t>C6877456</t>
  </si>
  <si>
    <t>HOLE 3MM</t>
  </si>
  <si>
    <t>U4, U5, U6, U7, U8, U9, U10, U11, U12, U13, U14, U15</t>
  </si>
  <si>
    <t>HOLE ARRAY 3MM</t>
  </si>
  <si>
    <t>Project Title</t>
  </si>
  <si>
    <t>Borard Title</t>
  </si>
  <si>
    <t>SENSOR</t>
  </si>
  <si>
    <t>Schematic Title</t>
  </si>
  <si>
    <t>Schematic3</t>
  </si>
  <si>
    <t>PCB Title</t>
  </si>
  <si>
    <t>Variant Name</t>
  </si>
  <si>
    <t>Total Quantity</t>
  </si>
  <si>
    <t>Report Time</t>
  </si>
  <si>
    <t>20:44:58</t>
  </si>
  <si>
    <t>Report Date</t>
  </si>
  <si>
    <t>2025年9月27日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</si>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</sst>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24</v>
      </c>
      <c r="D8" s="9" t="s">
        <v>25</v>
      </c>
      <c r="E8" s="9" t="s">
        <v>26</v>
      </c>
      <c r="F8" s="9" t="s">
        <v>0</v>
      </c>
      <c r="G8" s="9" t="s">
        <v>24</v>
      </c>
      <c r="H8" s="9" t="s">
        <v>27</v>
      </c>
      <c r="I8" s="9" t="s">
        <v>28</v>
      </c>
      <c r="J8" s="9" t="s">
        <v>29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16</v>
      </c>
      <c r="C9" s="9" t="s">
        <v>30</v>
      </c>
      <c r="D9" s="9" t="s">
        <v>31</v>
      </c>
      <c r="E9" s="9" t="s">
        <v>32</v>
      </c>
      <c r="F9" s="9" t="s">
        <v>0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16</v>
      </c>
      <c r="C10" s="9" t="s">
        <v>33</v>
      </c>
      <c r="D10" s="9" t="s">
        <v>34</v>
      </c>
      <c r="E10" s="9" t="s">
        <v>32</v>
      </c>
      <c r="F10" s="9" t="s">
        <v>0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16</v>
      </c>
      <c r="C11" s="9" t="s">
        <v>35</v>
      </c>
      <c r="D11" s="9" t="s">
        <v>36</v>
      </c>
      <c r="E11" s="9" t="s">
        <v>37</v>
      </c>
      <c r="F11" s="9" t="s">
        <v>35</v>
      </c>
      <c r="G11" s="9" t="s">
        <v>38</v>
      </c>
      <c r="H11" s="9" t="s">
        <v>39</v>
      </c>
      <c r="I11" s="9" t="s">
        <v>0</v>
      </c>
      <c r="J11" s="9" t="s">
        <v>29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16</v>
      </c>
      <c r="C12" s="9" t="s">
        <v>40</v>
      </c>
      <c r="D12" s="9" t="s">
        <v>41</v>
      </c>
      <c r="E12" s="9" t="s">
        <v>37</v>
      </c>
      <c r="F12" s="9" t="s">
        <v>40</v>
      </c>
      <c r="G12" s="9" t="s">
        <v>38</v>
      </c>
      <c r="H12" s="9" t="s">
        <v>39</v>
      </c>
      <c r="I12" s="9" t="s">
        <v>0</v>
      </c>
      <c r="J12" s="9" t="s">
        <v>29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42</v>
      </c>
      <c r="D13" s="9" t="s">
        <v>43</v>
      </c>
      <c r="E13" s="9" t="s">
        <v>44</v>
      </c>
      <c r="F13" s="9" t="s">
        <v>0</v>
      </c>
      <c r="G13" s="9" t="s">
        <v>42</v>
      </c>
      <c r="H13" s="9" t="s">
        <v>45</v>
      </c>
      <c r="I13" s="9" t="s">
        <v>46</v>
      </c>
      <c r="J13" s="9" t="s">
        <v>29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12</v>
      </c>
      <c r="C14" s="9" t="s">
        <v>47</v>
      </c>
      <c r="D14" s="9" t="s">
        <v>48</v>
      </c>
      <c r="E14" s="9" t="s">
        <v>49</v>
      </c>
      <c r="F14" s="9" t="s">
        <v>0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0</v>
      </c>
      <c r="L14" s="10">
        <f>B14*K14</f>
      </c>
    </row>
    <row r="15" spans="1:12" x14ac:dyDescent="0.25">
      <c r="A15" s="8">
        <f>ROW()-6</f>
      </c>
      <c r="B15" s="11">
        <f>SUM(L7:L14)</f>
      </c>
      <c r="C15" s="11"/>
      <c r="D15" s="11"/>
      <c r="E15" s="11"/>
      <c r="F15" s="11"/>
      <c r="G15" s="11"/>
      <c r="H15" s="11"/>
      <c r="I15" s="11"/>
      <c r="J15" s="11"/>
      <c r="K15" s="11"/>
      <c r="L15" s="11"/>
    </row>
  </sheetData>
  <mergeCells count="4">
    <mergeCell ref="A1:D5"/>
    <mergeCell ref="E1:E2"/>
    <mergeCell ref="F1:F2"/>
    <mergeCell ref="B15:L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50</v>
      </c>
      <c r="B1" s="6" t="s">
        <v>4</v>
      </c>
    </row>
    <row r="2" spans="1:2" x14ac:dyDescent="0.25">
      <c r="A2" s="6" t="s">
        <v>51</v>
      </c>
      <c r="B2" s="6" t="s">
        <v>52</v>
      </c>
    </row>
    <row r="3" spans="1:2" x14ac:dyDescent="0.25">
      <c r="A3" s="6" t="s">
        <v>53</v>
      </c>
      <c r="B3" s="6" t="s">
        <v>54</v>
      </c>
    </row>
    <row r="4" spans="1:2" x14ac:dyDescent="0.25">
      <c r="A4" s="6" t="s">
        <v>55</v>
      </c>
      <c r="B4" s="6" t="s">
        <v>6</v>
      </c>
    </row>
    <row r="5" spans="1:2" x14ac:dyDescent="0.25">
      <c r="A5" s="6" t="s">
        <v>56</v>
      </c>
      <c r="B5" s="6" t="s">
        <v>6</v>
      </c>
    </row>
    <row r="6" spans="1:2" x14ac:dyDescent="0.25">
      <c r="A6" s="6" t="s">
        <v>57</v>
      </c>
      <c r="B6" s="6">
        <v>80</v>
      </c>
    </row>
    <row r="7" spans="1:2" x14ac:dyDescent="0.25">
      <c r="A7" s="6" t="s">
        <v>58</v>
      </c>
      <c r="B7" s="6" t="s">
        <v>59</v>
      </c>
    </row>
    <row r="8" spans="1:2" x14ac:dyDescent="0.25">
      <c r="A8" s="6" t="s">
        <v>60</v>
      </c>
      <c r="B8" s="6" t="s">
        <v>61</v>
      </c>
    </row>
    <row r="9" spans="1:2" x14ac:dyDescent="0.25">
      <c r="A9" s="6" t="s">
        <v>62</v>
      </c>
      <c r="B9" s="6" t="s">
        <v>8</v>
      </c>
    </row>
    <row r="10" spans="1:2" x14ac:dyDescent="0.25">
      <c r="A10" s="6" t="s">
        <v>63</v>
      </c>
      <c r="B10" s="6" t="s">
        <v>2</v>
      </c>
    </row>
    <row r="11" spans="1:2" x14ac:dyDescent="0.25">
      <c r="A11" s="6" t="s">
        <v>64</v>
      </c>
      <c r="B11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2025-09-27T13:44:58Z</dcterms:modified>
</cp:coreProperties>
</file>