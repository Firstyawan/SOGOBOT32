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<sst xmlns="http://schemas.openxmlformats.org/spreadsheetml/2006/main" count="450" uniqueCount="197">
  <si>
    <t/>
  </si>
  <si>
    <t xml:space="preserve">Bill of Materials </t>
  </si>
  <si>
    <t>BOM_MAIN PCB_Schematic1_2025-09-27</t>
  </si>
  <si>
    <t>Project Title：</t>
  </si>
  <si>
    <t>LINEFOLLOWER V2</t>
  </si>
  <si>
    <t>Variant:</t>
  </si>
  <si>
    <t xml:space="preserve"> </t>
  </si>
  <si>
    <t>Report Time：</t>
  </si>
  <si>
    <t>2025年9月27日 20:42:48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</si>
  <si>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</si>
  <si>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</si>
  <si>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</si>
  <si>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</si>
  <si>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</si>
  <si>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</si>
  <si>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</si>
  <si>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</si>
  <si>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</si>
  <si>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</si>
  <si>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</si>
  <si>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</si>
  <si>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LED_0805-B</t>
  </si>
  <si>
    <t>3.3, 5V1, 5.0, 12</t>
  </si>
  <si>
    <t>LED0805-RD_GREEN</t>
  </si>
  <si>
    <t>100nF</t>
  </si>
  <si>
    <t>C1, C2, C19, C20, C23, C24, C26, C27, C28, C29, C32, C33, C34, C35, C36, C37, C38, C39</t>
  </si>
  <si>
    <t>C0805</t>
  </si>
  <si>
    <t>0.1uF</t>
  </si>
  <si>
    <t>C17, C18</t>
  </si>
  <si>
    <t>10uF</t>
  </si>
  <si>
    <t>C21, C22, C30, C31</t>
  </si>
  <si>
    <t>CASE-B_3528</t>
  </si>
  <si>
    <t>TAJB107K006RNJ</t>
  </si>
  <si>
    <t>Kyocera AVX</t>
  </si>
  <si>
    <t>LCSC</t>
  </si>
  <si>
    <t>1uF</t>
  </si>
  <si>
    <t>C40</t>
  </si>
  <si>
    <t>XT30UW-F.G.Y</t>
  </si>
  <si>
    <t>CN1</t>
  </si>
  <si>
    <t>CONN-TH_XT30UW-F.G.Y</t>
  </si>
  <si>
    <t>AMASS(艾迈斯)</t>
  </si>
  <si>
    <t>C19268025</t>
  </si>
  <si>
    <t>SS110</t>
  </si>
  <si>
    <t>D1</t>
  </si>
  <si>
    <t>SMA_L4.2-W2.6-LS5.1-RD</t>
  </si>
  <si>
    <t>C379823</t>
  </si>
  <si>
    <t>SS34</t>
  </si>
  <si>
    <t>D6</t>
  </si>
  <si>
    <t>SMA_L4.4-W2.8-LS5.4-RD</t>
  </si>
  <si>
    <t>C142458</t>
  </si>
  <si>
    <t>ZENER</t>
  </si>
  <si>
    <t>D7</t>
  </si>
  <si>
    <t>SOT-23-3_L2.9-W1.3-P1.90-LS2.4-BR</t>
  </si>
  <si>
    <t>LGE(鲁光)</t>
  </si>
  <si>
    <t>C545312</t>
  </si>
  <si>
    <t>TZMB16-GS08</t>
  </si>
  <si>
    <t>D8</t>
  </si>
  <si>
    <t>SOD-80_L3.5-W1.5-RD</t>
  </si>
  <si>
    <t>VISHAY(威世)</t>
  </si>
  <si>
    <t>C143071</t>
  </si>
  <si>
    <t>Mini 560 Step-down</t>
  </si>
  <si>
    <t>DC1</t>
  </si>
  <si>
    <t>MINI 560</t>
  </si>
  <si>
    <t>B-2100S08P-A110</t>
  </si>
  <si>
    <t>H8</t>
  </si>
  <si>
    <t>HDR-TH_8P-P2.54-V-M</t>
  </si>
  <si>
    <t>Ckmtw(灿科盟)</t>
  </si>
  <si>
    <t>C124381</t>
  </si>
  <si>
    <t>PINHEADER EXT</t>
  </si>
  <si>
    <t>H9</t>
  </si>
  <si>
    <t>HDR-TH_4P-P2.54-V-F</t>
  </si>
  <si>
    <t>2.54-1*4P母</t>
  </si>
  <si>
    <t>BOOMELE(博穆精密)</t>
  </si>
  <si>
    <t>C2718488</t>
  </si>
  <si>
    <t>PINHEADER EXT2</t>
  </si>
  <si>
    <t>H10</t>
  </si>
  <si>
    <t>HDR-M_2.54_1x3P</t>
  </si>
  <si>
    <t>H11, H12, H13</t>
  </si>
  <si>
    <t>HDR-TH_3P-P2.54-V-M</t>
  </si>
  <si>
    <t>B-2100S02P-A110</t>
  </si>
  <si>
    <t>H14, H15</t>
  </si>
  <si>
    <t>HDR-TH_2P-P2.54-V-M-1</t>
  </si>
  <si>
    <t>C124375</t>
  </si>
  <si>
    <t>WS2812B-B/W</t>
  </si>
  <si>
    <t>LED3</t>
  </si>
  <si>
    <t>LED-SMD_4P-L5.0-W5.0-BL_TC5050RGB</t>
  </si>
  <si>
    <t>worldsemi</t>
  </si>
  <si>
    <t>C114586</t>
  </si>
  <si>
    <t>S8050 J3Y</t>
  </si>
  <si>
    <t>Q1, Q2</t>
  </si>
  <si>
    <t>SOT-23-3_L3.0-W1.7-P0.95-LS2.9-BR</t>
  </si>
  <si>
    <t>CJ(江苏长电/长晶)</t>
  </si>
  <si>
    <t>C2146</t>
  </si>
  <si>
    <t>AO3400</t>
  </si>
  <si>
    <t>Q3</t>
  </si>
  <si>
    <t>BORN(伯恩半导体)</t>
  </si>
  <si>
    <t>C2848737</t>
  </si>
  <si>
    <t>10K</t>
  </si>
  <si>
    <t>R2, R3, R4, R5, R6, R7, R8, R9</t>
  </si>
  <si>
    <t>R0805</t>
  </si>
  <si>
    <t>0805W8F2402T5E</t>
  </si>
  <si>
    <t>UNI-ROYAL(厚声)</t>
  </si>
  <si>
    <t>R32, R33, R45, R46, R48, R49, R52, R56, R57, R58, R59, R65, R66</t>
  </si>
  <si>
    <t>PTFR0805B549RP9</t>
  </si>
  <si>
    <t>RESI(开步睿思)</t>
  </si>
  <si>
    <t>5.1K</t>
  </si>
  <si>
    <t>R43, R44</t>
  </si>
  <si>
    <t>4K7</t>
  </si>
  <si>
    <t>R50, R51, R55</t>
  </si>
  <si>
    <t>47K</t>
  </si>
  <si>
    <t>R54</t>
  </si>
  <si>
    <t>330</t>
  </si>
  <si>
    <t>R60</t>
  </si>
  <si>
    <t>5.1k</t>
  </si>
  <si>
    <t>R61, R63, R64</t>
  </si>
  <si>
    <t>SS12D10G4 071</t>
  </si>
  <si>
    <t>SW1</t>
  </si>
  <si>
    <t>SW-TH_SHOU-HAN_SS12D10G4</t>
  </si>
  <si>
    <t>SHOU HAN(首韩)</t>
  </si>
  <si>
    <t>C2887259</t>
  </si>
  <si>
    <t>PUSH BUTTON</t>
  </si>
  <si>
    <t>SW2</t>
  </si>
  <si>
    <t>SW-SMD_L6.0-W6.0-LS6.6</t>
  </si>
  <si>
    <t>ALPSALPINE(阿尔卑斯阿尔派)</t>
  </si>
  <si>
    <t>C97448</t>
  </si>
  <si>
    <t>PTS636</t>
  </si>
  <si>
    <t>SW10</t>
  </si>
  <si>
    <t>KEY-SMD_L6.0-W3.5-LS8.7</t>
  </si>
  <si>
    <t>C&amp;K</t>
  </si>
  <si>
    <t>C2689642</t>
  </si>
  <si>
    <t>BTN7960</t>
  </si>
  <si>
    <t>U1, U2, U3, U4</t>
  </si>
  <si>
    <t>PG-TO263-7_L9.9-W9.2-P1.27-LS14.9-BR</t>
  </si>
  <si>
    <t>C9900000198</t>
  </si>
  <si>
    <t>HOLE 3MM</t>
  </si>
  <si>
    <t>U5, U6, U7, U8</t>
  </si>
  <si>
    <t>HOLE ARRAY 3MM</t>
  </si>
  <si>
    <t>AT24C256M/TR</t>
  </si>
  <si>
    <t>U11, U34</t>
  </si>
  <si>
    <t>SOP-8_L4.9-W3.9-P1.27-LS6.0-BL</t>
  </si>
  <si>
    <t>HGSEMI(华冠)</t>
  </si>
  <si>
    <t>C434513</t>
  </si>
  <si>
    <t>CH340C</t>
  </si>
  <si>
    <t>U17</t>
  </si>
  <si>
    <t>SOP-16_L10.0-W3.9-P1.27-LS6.0-BL</t>
  </si>
  <si>
    <t>WCH(南京沁恒)</t>
  </si>
  <si>
    <t>C84681</t>
  </si>
  <si>
    <t>AMS1117-3.3V</t>
  </si>
  <si>
    <t>U19, U25</t>
  </si>
  <si>
    <t>SOT-223-4_L6.5-W3.5-P2.30-LS7.0-BR</t>
  </si>
  <si>
    <t>74HC244D</t>
  </si>
  <si>
    <t>U20</t>
  </si>
  <si>
    <t>SOIC-20_L12.8-W7.5-P1.27-LS10.3-TL</t>
  </si>
  <si>
    <t>TOSHIBA(东芝)</t>
  </si>
  <si>
    <t>C3754259</t>
  </si>
  <si>
    <t>470uF</t>
  </si>
  <si>
    <t>U26, U27, U28</t>
  </si>
  <si>
    <t>CAP-SMD_BD10.0-L10.3-W10.3-LS11.0-FD-1</t>
  </si>
  <si>
    <t>C9900012754</t>
  </si>
  <si>
    <t>SS54</t>
  </si>
  <si>
    <t>U31</t>
  </si>
  <si>
    <t>SMA_L4.3-W2.5-LS5.0-RD</t>
  </si>
  <si>
    <t>UMW(友台半导体)</t>
  </si>
  <si>
    <t>C2988633</t>
  </si>
  <si>
    <t>ESP32-WROOM-32</t>
  </si>
  <si>
    <t>U33</t>
  </si>
  <si>
    <t>WIFIM-SMD_ESP-WROOM-32</t>
  </si>
  <si>
    <t>ESPRESSIF(乐鑫)</t>
  </si>
  <si>
    <t>C95209</t>
  </si>
  <si>
    <t>ENCODER_L</t>
  </si>
  <si>
    <t>U35</t>
  </si>
  <si>
    <t>CONN-TH_4P-P2.50-XH2.54-4P</t>
  </si>
  <si>
    <t>C9900008616</t>
  </si>
  <si>
    <t>ENCODER_R</t>
  </si>
  <si>
    <t>U36</t>
  </si>
  <si>
    <t>PADSMD MOTOR</t>
  </si>
  <si>
    <t>U37, U38, U39, U40</t>
  </si>
  <si>
    <t>TYPE-C</t>
  </si>
  <si>
    <t>USB3</t>
  </si>
  <si>
    <t>USB-C-SMD_TYPE-C16PIN</t>
  </si>
  <si>
    <t>C2858270</t>
  </si>
  <si>
    <t>Project Title</t>
  </si>
  <si>
    <t>Borard Title</t>
  </si>
  <si>
    <t>MAIN PCB</t>
  </si>
  <si>
    <t>Schematic Title</t>
  </si>
  <si>
    <t>Schematic1</t>
  </si>
  <si>
    <t>PCB Title</t>
  </si>
  <si>
    <t>Variant Name</t>
  </si>
  <si>
    <t>Total Quantity</t>
  </si>
  <si>
    <t>Report Time</t>
  </si>
  <si>
    <t>20:42:48</t>
  </si>
  <si>
    <t>Report Date</t>
  </si>
  <si>
    <t>2025年9月27日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</si>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</sst>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4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18</v>
      </c>
      <c r="C8" s="9" t="s">
        <v>24</v>
      </c>
      <c r="D8" s="9" t="s">
        <v>25</v>
      </c>
      <c r="E8" s="9" t="s">
        <v>26</v>
      </c>
      <c r="F8" s="9" t="s">
        <v>24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2</v>
      </c>
      <c r="C9" s="9" t="s">
        <v>27</v>
      </c>
      <c r="D9" s="9" t="s">
        <v>28</v>
      </c>
      <c r="E9" s="9" t="s">
        <v>26</v>
      </c>
      <c r="F9" s="9" t="s">
        <v>27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4</v>
      </c>
      <c r="C10" s="9" t="s">
        <v>29</v>
      </c>
      <c r="D10" s="9" t="s">
        <v>30</v>
      </c>
      <c r="E10" s="9" t="s">
        <v>31</v>
      </c>
      <c r="F10" s="9" t="s">
        <v>29</v>
      </c>
      <c r="G10" s="9" t="s">
        <v>32</v>
      </c>
      <c r="H10" s="9" t="s">
        <v>33</v>
      </c>
      <c r="I10" s="9" t="s">
        <v>0</v>
      </c>
      <c r="J10" s="9" t="s">
        <v>34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35</v>
      </c>
      <c r="D11" s="9" t="s">
        <v>36</v>
      </c>
      <c r="E11" s="9" t="s">
        <v>26</v>
      </c>
      <c r="F11" s="9" t="s">
        <v>35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37</v>
      </c>
      <c r="D12" s="9" t="s">
        <v>38</v>
      </c>
      <c r="E12" s="9" t="s">
        <v>39</v>
      </c>
      <c r="F12" s="9" t="s">
        <v>0</v>
      </c>
      <c r="G12" s="9" t="s">
        <v>37</v>
      </c>
      <c r="H12" s="9" t="s">
        <v>40</v>
      </c>
      <c r="I12" s="9" t="s">
        <v>41</v>
      </c>
      <c r="J12" s="9" t="s">
        <v>34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42</v>
      </c>
      <c r="D13" s="9" t="s">
        <v>43</v>
      </c>
      <c r="E13" s="9" t="s">
        <v>44</v>
      </c>
      <c r="F13" s="9" t="s">
        <v>0</v>
      </c>
      <c r="G13" s="9" t="s">
        <v>42</v>
      </c>
      <c r="H13" s="9" t="s">
        <v>0</v>
      </c>
      <c r="I13" s="9" t="s">
        <v>45</v>
      </c>
      <c r="J13" s="9" t="s">
        <v>34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46</v>
      </c>
      <c r="D14" s="9" t="s">
        <v>47</v>
      </c>
      <c r="E14" s="9" t="s">
        <v>48</v>
      </c>
      <c r="F14" s="9" t="s">
        <v>0</v>
      </c>
      <c r="G14" s="9" t="s">
        <v>46</v>
      </c>
      <c r="H14" s="9" t="s">
        <v>0</v>
      </c>
      <c r="I14" s="9" t="s">
        <v>49</v>
      </c>
      <c r="J14" s="9" t="s">
        <v>34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50</v>
      </c>
      <c r="D15" s="9" t="s">
        <v>51</v>
      </c>
      <c r="E15" s="9" t="s">
        <v>52</v>
      </c>
      <c r="F15" s="9" t="s">
        <v>0</v>
      </c>
      <c r="G15" s="9" t="s">
        <v>50</v>
      </c>
      <c r="H15" s="9" t="s">
        <v>53</v>
      </c>
      <c r="I15" s="9" t="s">
        <v>54</v>
      </c>
      <c r="J15" s="9" t="s">
        <v>34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55</v>
      </c>
      <c r="D16" s="9" t="s">
        <v>56</v>
      </c>
      <c r="E16" s="9" t="s">
        <v>57</v>
      </c>
      <c r="F16" s="9" t="s">
        <v>0</v>
      </c>
      <c r="G16" s="9" t="s">
        <v>55</v>
      </c>
      <c r="H16" s="9" t="s">
        <v>58</v>
      </c>
      <c r="I16" s="9" t="s">
        <v>59</v>
      </c>
      <c r="J16" s="9" t="s">
        <v>34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60</v>
      </c>
      <c r="D17" s="9" t="s">
        <v>61</v>
      </c>
      <c r="E17" s="9" t="s">
        <v>62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63</v>
      </c>
      <c r="D18" s="9" t="s">
        <v>64</v>
      </c>
      <c r="E18" s="9" t="s">
        <v>65</v>
      </c>
      <c r="F18" s="9" t="s">
        <v>0</v>
      </c>
      <c r="G18" s="9" t="s">
        <v>63</v>
      </c>
      <c r="H18" s="9" t="s">
        <v>66</v>
      </c>
      <c r="I18" s="9" t="s">
        <v>67</v>
      </c>
      <c r="J18" s="9" t="s">
        <v>34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68</v>
      </c>
      <c r="D19" s="9" t="s">
        <v>69</v>
      </c>
      <c r="E19" s="9" t="s">
        <v>70</v>
      </c>
      <c r="F19" s="9" t="s">
        <v>0</v>
      </c>
      <c r="G19" s="9" t="s">
        <v>71</v>
      </c>
      <c r="H19" s="9" t="s">
        <v>72</v>
      </c>
      <c r="I19" s="9" t="s">
        <v>73</v>
      </c>
      <c r="J19" s="9" t="s">
        <v>34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74</v>
      </c>
      <c r="D20" s="9" t="s">
        <v>75</v>
      </c>
      <c r="E20" s="9" t="s">
        <v>70</v>
      </c>
      <c r="F20" s="9" t="s">
        <v>0</v>
      </c>
      <c r="G20" s="9" t="s">
        <v>71</v>
      </c>
      <c r="H20" s="9" t="s">
        <v>72</v>
      </c>
      <c r="I20" s="9" t="s">
        <v>73</v>
      </c>
      <c r="J20" s="9" t="s">
        <v>34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3</v>
      </c>
      <c r="C21" s="9" t="s">
        <v>76</v>
      </c>
      <c r="D21" s="9" t="s">
        <v>77</v>
      </c>
      <c r="E21" s="9" t="s">
        <v>78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2</v>
      </c>
      <c r="C22" s="9" t="s">
        <v>79</v>
      </c>
      <c r="D22" s="9" t="s">
        <v>80</v>
      </c>
      <c r="E22" s="9" t="s">
        <v>81</v>
      </c>
      <c r="F22" s="9" t="s">
        <v>0</v>
      </c>
      <c r="G22" s="9" t="s">
        <v>79</v>
      </c>
      <c r="H22" s="9" t="s">
        <v>66</v>
      </c>
      <c r="I22" s="9" t="s">
        <v>82</v>
      </c>
      <c r="J22" s="9" t="s">
        <v>34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83</v>
      </c>
      <c r="D23" s="9" t="s">
        <v>84</v>
      </c>
      <c r="E23" s="9" t="s">
        <v>85</v>
      </c>
      <c r="F23" s="9" t="s">
        <v>0</v>
      </c>
      <c r="G23" s="9" t="s">
        <v>83</v>
      </c>
      <c r="H23" s="9" t="s">
        <v>86</v>
      </c>
      <c r="I23" s="9" t="s">
        <v>87</v>
      </c>
      <c r="J23" s="9" t="s">
        <v>34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88</v>
      </c>
      <c r="D24" s="9" t="s">
        <v>89</v>
      </c>
      <c r="E24" s="9" t="s">
        <v>90</v>
      </c>
      <c r="F24" s="9" t="s">
        <v>0</v>
      </c>
      <c r="G24" s="9" t="s">
        <v>88</v>
      </c>
      <c r="H24" s="9" t="s">
        <v>91</v>
      </c>
      <c r="I24" s="9" t="s">
        <v>92</v>
      </c>
      <c r="J24" s="9" t="s">
        <v>34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93</v>
      </c>
      <c r="D25" s="9" t="s">
        <v>94</v>
      </c>
      <c r="E25" s="9" t="s">
        <v>52</v>
      </c>
      <c r="F25" s="9" t="s">
        <v>0</v>
      </c>
      <c r="G25" s="9" t="s">
        <v>93</v>
      </c>
      <c r="H25" s="9" t="s">
        <v>95</v>
      </c>
      <c r="I25" s="9" t="s">
        <v>96</v>
      </c>
      <c r="J25" s="9" t="s">
        <v>34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8</v>
      </c>
      <c r="C26" s="9" t="s">
        <v>97</v>
      </c>
      <c r="D26" s="9" t="s">
        <v>98</v>
      </c>
      <c r="E26" s="9" t="s">
        <v>99</v>
      </c>
      <c r="F26" s="9" t="s">
        <v>97</v>
      </c>
      <c r="G26" s="9" t="s">
        <v>100</v>
      </c>
      <c r="H26" s="9" t="s">
        <v>101</v>
      </c>
      <c r="I26" s="9" t="s">
        <v>0</v>
      </c>
      <c r="J26" s="9" t="s">
        <v>34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13</v>
      </c>
      <c r="C27" s="9" t="s">
        <v>97</v>
      </c>
      <c r="D27" s="9" t="s">
        <v>102</v>
      </c>
      <c r="E27" s="9" t="s">
        <v>99</v>
      </c>
      <c r="F27" s="9" t="s">
        <v>97</v>
      </c>
      <c r="G27" s="9" t="s">
        <v>103</v>
      </c>
      <c r="H27" s="9" t="s">
        <v>104</v>
      </c>
      <c r="I27" s="9" t="s">
        <v>0</v>
      </c>
      <c r="J27" s="9" t="s">
        <v>34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2</v>
      </c>
      <c r="C28" s="9" t="s">
        <v>105</v>
      </c>
      <c r="D28" s="9" t="s">
        <v>106</v>
      </c>
      <c r="E28" s="9" t="s">
        <v>99</v>
      </c>
      <c r="F28" s="9" t="s">
        <v>105</v>
      </c>
      <c r="G28" s="9" t="s">
        <v>103</v>
      </c>
      <c r="H28" s="9" t="s">
        <v>104</v>
      </c>
      <c r="I28" s="9" t="s">
        <v>0</v>
      </c>
      <c r="J28" s="9" t="s">
        <v>34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3</v>
      </c>
      <c r="C29" s="9" t="s">
        <v>107</v>
      </c>
      <c r="D29" s="9" t="s">
        <v>108</v>
      </c>
      <c r="E29" s="9" t="s">
        <v>99</v>
      </c>
      <c r="F29" s="9" t="s">
        <v>107</v>
      </c>
      <c r="G29" s="9" t="s">
        <v>103</v>
      </c>
      <c r="H29" s="9" t="s">
        <v>104</v>
      </c>
      <c r="I29" s="9" t="s">
        <v>0</v>
      </c>
      <c r="J29" s="9" t="s">
        <v>34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109</v>
      </c>
      <c r="D30" s="9" t="s">
        <v>110</v>
      </c>
      <c r="E30" s="9" t="s">
        <v>99</v>
      </c>
      <c r="F30" s="9" t="s">
        <v>109</v>
      </c>
      <c r="G30" s="9" t="s">
        <v>103</v>
      </c>
      <c r="H30" s="9" t="s">
        <v>104</v>
      </c>
      <c r="I30" s="9" t="s">
        <v>0</v>
      </c>
      <c r="J30" s="9" t="s">
        <v>34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111</v>
      </c>
      <c r="D31" s="9" t="s">
        <v>112</v>
      </c>
      <c r="E31" s="9" t="s">
        <v>99</v>
      </c>
      <c r="F31" s="9" t="s">
        <v>111</v>
      </c>
      <c r="G31" s="9" t="s">
        <v>103</v>
      </c>
      <c r="H31" s="9" t="s">
        <v>104</v>
      </c>
      <c r="I31" s="9" t="s">
        <v>0</v>
      </c>
      <c r="J31" s="9" t="s">
        <v>34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3</v>
      </c>
      <c r="C32" s="9" t="s">
        <v>113</v>
      </c>
      <c r="D32" s="9" t="s">
        <v>114</v>
      </c>
      <c r="E32" s="9" t="s">
        <v>99</v>
      </c>
      <c r="F32" s="9" t="s">
        <v>113</v>
      </c>
      <c r="G32" s="9" t="s">
        <v>103</v>
      </c>
      <c r="H32" s="9" t="s">
        <v>104</v>
      </c>
      <c r="I32" s="9" t="s">
        <v>0</v>
      </c>
      <c r="J32" s="9" t="s">
        <v>34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115</v>
      </c>
      <c r="D33" s="9" t="s">
        <v>116</v>
      </c>
      <c r="E33" s="9" t="s">
        <v>117</v>
      </c>
      <c r="F33" s="9" t="s">
        <v>0</v>
      </c>
      <c r="G33" s="9" t="s">
        <v>115</v>
      </c>
      <c r="H33" s="9" t="s">
        <v>118</v>
      </c>
      <c r="I33" s="9" t="s">
        <v>119</v>
      </c>
      <c r="J33" s="9" t="s">
        <v>34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120</v>
      </c>
      <c r="D34" s="9" t="s">
        <v>121</v>
      </c>
      <c r="E34" s="9" t="s">
        <v>122</v>
      </c>
      <c r="F34" s="9" t="s">
        <v>0</v>
      </c>
      <c r="G34" s="9" t="s">
        <v>120</v>
      </c>
      <c r="H34" s="9" t="s">
        <v>123</v>
      </c>
      <c r="I34" s="9" t="s">
        <v>124</v>
      </c>
      <c r="J34" s="9" t="s">
        <v>34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125</v>
      </c>
      <c r="D35" s="9" t="s">
        <v>126</v>
      </c>
      <c r="E35" s="9" t="s">
        <v>127</v>
      </c>
      <c r="F35" s="9" t="s">
        <v>0</v>
      </c>
      <c r="G35" s="9" t="s">
        <v>125</v>
      </c>
      <c r="H35" s="9" t="s">
        <v>128</v>
      </c>
      <c r="I35" s="9" t="s">
        <v>129</v>
      </c>
      <c r="J35" s="9" t="s">
        <v>34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4</v>
      </c>
      <c r="C36" s="9" t="s">
        <v>130</v>
      </c>
      <c r="D36" s="9" t="s">
        <v>131</v>
      </c>
      <c r="E36" s="9" t="s">
        <v>132</v>
      </c>
      <c r="F36" s="9" t="s">
        <v>0</v>
      </c>
      <c r="G36" s="9" t="s">
        <v>130</v>
      </c>
      <c r="H36" s="9" t="s">
        <v>0</v>
      </c>
      <c r="I36" s="9" t="s">
        <v>133</v>
      </c>
      <c r="J36" s="9" t="s">
        <v>34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4</v>
      </c>
      <c r="C37" s="9" t="s">
        <v>134</v>
      </c>
      <c r="D37" s="9" t="s">
        <v>135</v>
      </c>
      <c r="E37" s="9" t="s">
        <v>136</v>
      </c>
      <c r="F37" s="9" t="s">
        <v>0</v>
      </c>
      <c r="G37" s="9" t="s">
        <v>0</v>
      </c>
      <c r="H37" s="9" t="s">
        <v>0</v>
      </c>
      <c r="I37" s="9" t="s">
        <v>0</v>
      </c>
      <c r="J37" s="9" t="s">
        <v>0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2</v>
      </c>
      <c r="C38" s="9" t="s">
        <v>137</v>
      </c>
      <c r="D38" s="9" t="s">
        <v>138</v>
      </c>
      <c r="E38" s="9" t="s">
        <v>139</v>
      </c>
      <c r="F38" s="9" t="s">
        <v>0</v>
      </c>
      <c r="G38" s="9" t="s">
        <v>137</v>
      </c>
      <c r="H38" s="9" t="s">
        <v>140</v>
      </c>
      <c r="I38" s="9" t="s">
        <v>141</v>
      </c>
      <c r="J38" s="9" t="s">
        <v>34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142</v>
      </c>
      <c r="D39" s="9" t="s">
        <v>143</v>
      </c>
      <c r="E39" s="9" t="s">
        <v>144</v>
      </c>
      <c r="F39" s="9" t="s">
        <v>0</v>
      </c>
      <c r="G39" s="9" t="s">
        <v>142</v>
      </c>
      <c r="H39" s="9" t="s">
        <v>145</v>
      </c>
      <c r="I39" s="9" t="s">
        <v>146</v>
      </c>
      <c r="J39" s="9" t="s">
        <v>34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2</v>
      </c>
      <c r="C40" s="9" t="s">
        <v>147</v>
      </c>
      <c r="D40" s="9" t="s">
        <v>148</v>
      </c>
      <c r="E40" s="9" t="s">
        <v>149</v>
      </c>
      <c r="F40" s="9" t="s">
        <v>0</v>
      </c>
      <c r="G40" s="9" t="s">
        <v>0</v>
      </c>
      <c r="H40" s="9" t="s">
        <v>0</v>
      </c>
      <c r="I40" s="9" t="s">
        <v>0</v>
      </c>
      <c r="J40" s="9" t="s">
        <v>0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150</v>
      </c>
      <c r="D41" s="9" t="s">
        <v>151</v>
      </c>
      <c r="E41" s="9" t="s">
        <v>152</v>
      </c>
      <c r="F41" s="9" t="s">
        <v>0</v>
      </c>
      <c r="G41" s="9" t="s">
        <v>150</v>
      </c>
      <c r="H41" s="9" t="s">
        <v>153</v>
      </c>
      <c r="I41" s="9" t="s">
        <v>154</v>
      </c>
      <c r="J41" s="9" t="s">
        <v>34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3</v>
      </c>
      <c r="C42" s="9" t="s">
        <v>155</v>
      </c>
      <c r="D42" s="9" t="s">
        <v>156</v>
      </c>
      <c r="E42" s="9" t="s">
        <v>157</v>
      </c>
      <c r="F42" s="9" t="s">
        <v>0</v>
      </c>
      <c r="G42" s="9" t="s">
        <v>155</v>
      </c>
      <c r="H42" s="9" t="s">
        <v>0</v>
      </c>
      <c r="I42" s="9" t="s">
        <v>158</v>
      </c>
      <c r="J42" s="9" t="s">
        <v>34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1</v>
      </c>
      <c r="C43" s="9" t="s">
        <v>159</v>
      </c>
      <c r="D43" s="9" t="s">
        <v>160</v>
      </c>
      <c r="E43" s="9" t="s">
        <v>161</v>
      </c>
      <c r="F43" s="9" t="s">
        <v>0</v>
      </c>
      <c r="G43" s="9" t="s">
        <v>159</v>
      </c>
      <c r="H43" s="9" t="s">
        <v>162</v>
      </c>
      <c r="I43" s="9" t="s">
        <v>163</v>
      </c>
      <c r="J43" s="9" t="s">
        <v>34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164</v>
      </c>
      <c r="D44" s="9" t="s">
        <v>165</v>
      </c>
      <c r="E44" s="9" t="s">
        <v>166</v>
      </c>
      <c r="F44" s="9" t="s">
        <v>0</v>
      </c>
      <c r="G44" s="9" t="s">
        <v>164</v>
      </c>
      <c r="H44" s="9" t="s">
        <v>167</v>
      </c>
      <c r="I44" s="9" t="s">
        <v>168</v>
      </c>
      <c r="J44" s="9" t="s">
        <v>34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169</v>
      </c>
      <c r="D45" s="9" t="s">
        <v>170</v>
      </c>
      <c r="E45" s="9" t="s">
        <v>171</v>
      </c>
      <c r="F45" s="9" t="s">
        <v>0</v>
      </c>
      <c r="G45" s="9" t="s">
        <v>169</v>
      </c>
      <c r="H45" s="9" t="s">
        <v>0</v>
      </c>
      <c r="I45" s="9" t="s">
        <v>172</v>
      </c>
      <c r="J45" s="9" t="s">
        <v>34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1</v>
      </c>
      <c r="C46" s="9" t="s">
        <v>173</v>
      </c>
      <c r="D46" s="9" t="s">
        <v>174</v>
      </c>
      <c r="E46" s="9" t="s">
        <v>171</v>
      </c>
      <c r="F46" s="9" t="s">
        <v>0</v>
      </c>
      <c r="G46" s="9" t="s">
        <v>173</v>
      </c>
      <c r="H46" s="9" t="s">
        <v>0</v>
      </c>
      <c r="I46" s="9" t="s">
        <v>172</v>
      </c>
      <c r="J46" s="9" t="s">
        <v>34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4</v>
      </c>
      <c r="C47" s="9" t="s">
        <v>175</v>
      </c>
      <c r="D47" s="9" t="s">
        <v>176</v>
      </c>
      <c r="E47" s="9" t="s">
        <v>175</v>
      </c>
      <c r="F47" s="9" t="s">
        <v>0</v>
      </c>
      <c r="G47" s="9" t="s">
        <v>0</v>
      </c>
      <c r="H47" s="9" t="s">
        <v>0</v>
      </c>
      <c r="I47" s="9" t="s">
        <v>0</v>
      </c>
      <c r="J47" s="9" t="s">
        <v>0</v>
      </c>
      <c r="K47" s="9" t="s">
        <v>0</v>
      </c>
      <c r="L47" s="10">
        <f>B47*K47</f>
      </c>
    </row>
    <row r="48" spans="1:12" x14ac:dyDescent="0.25">
      <c r="A48" s="8">
        <f>ROW()-6</f>
      </c>
      <c r="B48" s="9">
        <v>1</v>
      </c>
      <c r="C48" s="9" t="s">
        <v>177</v>
      </c>
      <c r="D48" s="9" t="s">
        <v>178</v>
      </c>
      <c r="E48" s="9" t="s">
        <v>179</v>
      </c>
      <c r="F48" s="9" t="s">
        <v>0</v>
      </c>
      <c r="G48" s="9" t="s">
        <v>177</v>
      </c>
      <c r="H48" s="9" t="s">
        <v>118</v>
      </c>
      <c r="I48" s="9" t="s">
        <v>180</v>
      </c>
      <c r="J48" s="9" t="s">
        <v>34</v>
      </c>
      <c r="K48" s="9" t="s">
        <v>0</v>
      </c>
      <c r="L48" s="10">
        <f>B48*K48</f>
      </c>
    </row>
    <row r="49" spans="1:12" x14ac:dyDescent="0.25">
      <c r="A49" s="8">
        <f>ROW()-6</f>
      </c>
      <c r="B49" s="11">
        <f>SUM(L7:L48)</f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</sheetData>
  <mergeCells count="4">
    <mergeCell ref="A1:D5"/>
    <mergeCell ref="E1:E2"/>
    <mergeCell ref="F1:F2"/>
    <mergeCell ref="B49:L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181</v>
      </c>
      <c r="B1" s="6" t="s">
        <v>4</v>
      </c>
    </row>
    <row r="2" spans="1:2" x14ac:dyDescent="0.25">
      <c r="A2" s="6" t="s">
        <v>182</v>
      </c>
      <c r="B2" s="6" t="s">
        <v>183</v>
      </c>
    </row>
    <row r="3" spans="1:2" x14ac:dyDescent="0.25">
      <c r="A3" s="6" t="s">
        <v>184</v>
      </c>
      <c r="B3" s="6" t="s">
        <v>185</v>
      </c>
    </row>
    <row r="4" spans="1:2" x14ac:dyDescent="0.25">
      <c r="A4" s="6" t="s">
        <v>186</v>
      </c>
      <c r="B4" s="6" t="s">
        <v>6</v>
      </c>
    </row>
    <row r="5" spans="1:2" x14ac:dyDescent="0.25">
      <c r="A5" s="6" t="s">
        <v>187</v>
      </c>
      <c r="B5" s="6" t="s">
        <v>6</v>
      </c>
    </row>
    <row r="6" spans="1:2" x14ac:dyDescent="0.25">
      <c r="A6" s="6" t="s">
        <v>188</v>
      </c>
      <c r="B6" s="6">
        <v>107</v>
      </c>
    </row>
    <row r="7" spans="1:2" x14ac:dyDescent="0.25">
      <c r="A7" s="6" t="s">
        <v>189</v>
      </c>
      <c r="B7" s="6" t="s">
        <v>190</v>
      </c>
    </row>
    <row r="8" spans="1:2" x14ac:dyDescent="0.25">
      <c r="A8" s="6" t="s">
        <v>191</v>
      </c>
      <c r="B8" s="6" t="s">
        <v>192</v>
      </c>
    </row>
    <row r="9" spans="1:2" x14ac:dyDescent="0.25">
      <c r="A9" s="6" t="s">
        <v>193</v>
      </c>
      <c r="B9" s="6" t="s">
        <v>8</v>
      </c>
    </row>
    <row r="10" spans="1:2" x14ac:dyDescent="0.25">
      <c r="A10" s="6" t="s">
        <v>194</v>
      </c>
      <c r="B10" s="6" t="s">
        <v>2</v>
      </c>
    </row>
    <row r="11" spans="1:2" x14ac:dyDescent="0.25">
      <c r="A11" s="6" t="s">
        <v>195</v>
      </c>
      <c r="B11" s="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2025-09-27T13:42:48Z</dcterms:modified>
</cp:coreProperties>
</file>