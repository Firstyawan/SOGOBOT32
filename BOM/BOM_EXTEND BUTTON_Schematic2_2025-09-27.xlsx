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<sst xmlns="http://schemas.openxmlformats.org/spreadsheetml/2006/main" count="171" uniqueCount="74">
  <si>
    <t/>
  </si>
  <si>
    <t xml:space="preserve">Bill of Materials </t>
  </si>
  <si>
    <t>BOM_EXTEND BUTTON_Schematic2_2025-09-27</t>
  </si>
  <si>
    <t>Project Title：</t>
  </si>
  <si>
    <t>LINEFOLLOWER V2</t>
  </si>
  <si>
    <t>Variant:</t>
  </si>
  <si>
    <t xml:space="preserve"> </t>
  </si>
  <si>
    <t>Report Time：</t>
  </si>
  <si>
    <t>2025年9月27日 20:43:50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</si>
  <si>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</si>
  <si>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</si>
  <si>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</si>
  <si>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</si>
  <si>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</si>
  <si>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</si>
  <si>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</si>
  <si>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</si>
  <si>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</si>
  <si>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</si>
  <si>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</si>
  <si>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</si>
  <si>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</si>
  <si>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C2, C4, C5, C6</t>
  </si>
  <si>
    <t>C0805</t>
  </si>
  <si>
    <t>2.54-1*4P母</t>
  </si>
  <si>
    <t>H9, H10</t>
  </si>
  <si>
    <t>HDR-TH_4P-P2.54-V-F</t>
  </si>
  <si>
    <t>BOOMELE(博穆精密)</t>
  </si>
  <si>
    <t>C2718488</t>
  </si>
  <si>
    <t>LCSC</t>
  </si>
  <si>
    <t>2.54-1*8P母环保</t>
  </si>
  <si>
    <t>H11</t>
  </si>
  <si>
    <t>HDR-TH_8P-P2.54-V-F-1</t>
  </si>
  <si>
    <t>C27438</t>
  </si>
  <si>
    <t>10K</t>
  </si>
  <si>
    <t>R32, R37</t>
  </si>
  <si>
    <t>R0805</t>
  </si>
  <si>
    <t>PTFR0805B549RP9</t>
  </si>
  <si>
    <t>RESI(开步睿思)</t>
  </si>
  <si>
    <t>4K7</t>
  </si>
  <si>
    <t>R33, R35, R36</t>
  </si>
  <si>
    <t>4k7</t>
  </si>
  <si>
    <t>R34</t>
  </si>
  <si>
    <t>SPEH110100</t>
  </si>
  <si>
    <t>SW2</t>
  </si>
  <si>
    <t>SW-SMD_L6.0-W6.0-LS6.6</t>
  </si>
  <si>
    <t>ALPSALPINE(阿尔卑斯阿尔派)</t>
  </si>
  <si>
    <t>C97448</t>
  </si>
  <si>
    <t>PUSH BUTTON</t>
  </si>
  <si>
    <t>SW3, SW6, SW7, SW8</t>
  </si>
  <si>
    <t>EXIT</t>
  </si>
  <si>
    <t>SW4</t>
  </si>
  <si>
    <t>1.3 OLED2</t>
  </si>
  <si>
    <t>U1</t>
  </si>
  <si>
    <t>OLED-TH12864</t>
  </si>
  <si>
    <t>C9900014198</t>
  </si>
  <si>
    <t>1.3 OLED</t>
  </si>
  <si>
    <t>U3</t>
  </si>
  <si>
    <t>Project Title</t>
  </si>
  <si>
    <t>Borard Title</t>
  </si>
  <si>
    <t>EXTEND BUTTON</t>
  </si>
  <si>
    <t>Schematic Title</t>
  </si>
  <si>
    <t>Schematic2</t>
  </si>
  <si>
    <t>PCB Title</t>
  </si>
  <si>
    <t>Variant Name</t>
  </si>
  <si>
    <t>Total Quantity</t>
  </si>
  <si>
    <t>Report Time</t>
  </si>
  <si>
    <t>20:43:50</t>
  </si>
  <si>
    <t>Report Date</t>
  </si>
  <si>
    <t>2025年9月27日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</si>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</sst>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4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2</v>
      </c>
      <c r="C8" s="9" t="s">
        <v>24</v>
      </c>
      <c r="D8" s="9" t="s">
        <v>25</v>
      </c>
      <c r="E8" s="9" t="s">
        <v>26</v>
      </c>
      <c r="F8" s="9" t="s">
        <v>0</v>
      </c>
      <c r="G8" s="9" t="s">
        <v>24</v>
      </c>
      <c r="H8" s="9" t="s">
        <v>27</v>
      </c>
      <c r="I8" s="9" t="s">
        <v>28</v>
      </c>
      <c r="J8" s="9" t="s">
        <v>29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30</v>
      </c>
      <c r="D9" s="9" t="s">
        <v>31</v>
      </c>
      <c r="E9" s="9" t="s">
        <v>32</v>
      </c>
      <c r="F9" s="9" t="s">
        <v>0</v>
      </c>
      <c r="G9" s="9" t="s">
        <v>30</v>
      </c>
      <c r="H9" s="9" t="s">
        <v>27</v>
      </c>
      <c r="I9" s="9" t="s">
        <v>33</v>
      </c>
      <c r="J9" s="9" t="s">
        <v>29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2</v>
      </c>
      <c r="C10" s="9" t="s">
        <v>34</v>
      </c>
      <c r="D10" s="9" t="s">
        <v>35</v>
      </c>
      <c r="E10" s="9" t="s">
        <v>36</v>
      </c>
      <c r="F10" s="9" t="s">
        <v>34</v>
      </c>
      <c r="G10" s="9" t="s">
        <v>37</v>
      </c>
      <c r="H10" s="9" t="s">
        <v>38</v>
      </c>
      <c r="I10" s="9" t="s">
        <v>0</v>
      </c>
      <c r="J10" s="9" t="s">
        <v>29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3</v>
      </c>
      <c r="C11" s="9" t="s">
        <v>39</v>
      </c>
      <c r="D11" s="9" t="s">
        <v>40</v>
      </c>
      <c r="E11" s="9" t="s">
        <v>36</v>
      </c>
      <c r="F11" s="9" t="s">
        <v>39</v>
      </c>
      <c r="G11" s="9" t="s">
        <v>37</v>
      </c>
      <c r="H11" s="9" t="s">
        <v>38</v>
      </c>
      <c r="I11" s="9" t="s">
        <v>0</v>
      </c>
      <c r="J11" s="9" t="s">
        <v>29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41</v>
      </c>
      <c r="D12" s="9" t="s">
        <v>42</v>
      </c>
      <c r="E12" s="9" t="s">
        <v>36</v>
      </c>
      <c r="F12" s="9" t="s">
        <v>41</v>
      </c>
      <c r="G12" s="9" t="s">
        <v>37</v>
      </c>
      <c r="H12" s="9" t="s">
        <v>38</v>
      </c>
      <c r="I12" s="9" t="s">
        <v>0</v>
      </c>
      <c r="J12" s="9" t="s">
        <v>29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43</v>
      </c>
      <c r="D13" s="9" t="s">
        <v>44</v>
      </c>
      <c r="E13" s="9" t="s">
        <v>45</v>
      </c>
      <c r="F13" s="9" t="s">
        <v>0</v>
      </c>
      <c r="G13" s="9" t="s">
        <v>0</v>
      </c>
      <c r="H13" s="9" t="s">
        <v>46</v>
      </c>
      <c r="I13" s="9" t="s">
        <v>47</v>
      </c>
      <c r="J13" s="9" t="s">
        <v>29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4</v>
      </c>
      <c r="C14" s="9" t="s">
        <v>48</v>
      </c>
      <c r="D14" s="9" t="s">
        <v>49</v>
      </c>
      <c r="E14" s="9" t="s">
        <v>45</v>
      </c>
      <c r="F14" s="9" t="s">
        <v>0</v>
      </c>
      <c r="G14" s="9" t="s">
        <v>48</v>
      </c>
      <c r="H14" s="9" t="s">
        <v>46</v>
      </c>
      <c r="I14" s="9" t="s">
        <v>47</v>
      </c>
      <c r="J14" s="9" t="s">
        <v>29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50</v>
      </c>
      <c r="D15" s="9" t="s">
        <v>51</v>
      </c>
      <c r="E15" s="9" t="s">
        <v>45</v>
      </c>
      <c r="F15" s="9" t="s">
        <v>0</v>
      </c>
      <c r="G15" s="9" t="s">
        <v>50</v>
      </c>
      <c r="H15" s="9" t="s">
        <v>46</v>
      </c>
      <c r="I15" s="9" t="s">
        <v>47</v>
      </c>
      <c r="J15" s="9" t="s">
        <v>29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52</v>
      </c>
      <c r="D16" s="9" t="s">
        <v>53</v>
      </c>
      <c r="E16" s="9" t="s">
        <v>54</v>
      </c>
      <c r="F16" s="9" t="s">
        <v>0</v>
      </c>
      <c r="G16" s="9" t="s">
        <v>52</v>
      </c>
      <c r="H16" s="9" t="s">
        <v>0</v>
      </c>
      <c r="I16" s="9" t="s">
        <v>55</v>
      </c>
      <c r="J16" s="9" t="s">
        <v>29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56</v>
      </c>
      <c r="D17" s="9" t="s">
        <v>57</v>
      </c>
      <c r="E17" s="9" t="s">
        <v>54</v>
      </c>
      <c r="F17" s="9" t="s">
        <v>0</v>
      </c>
      <c r="G17" s="9" t="s">
        <v>56</v>
      </c>
      <c r="H17" s="9" t="s">
        <v>0</v>
      </c>
      <c r="I17" s="9" t="s">
        <v>55</v>
      </c>
      <c r="J17" s="9" t="s">
        <v>29</v>
      </c>
      <c r="K17" s="9" t="s">
        <v>0</v>
      </c>
      <c r="L17" s="10">
        <f>B17*K17</f>
      </c>
    </row>
    <row r="18" spans="1:12" x14ac:dyDescent="0.25">
      <c r="A18" s="8">
        <f>ROW()-6</f>
      </c>
      <c r="B18" s="11">
        <f>SUM(L7:L17)</f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</sheetData>
  <mergeCells count="4">
    <mergeCell ref="A1:D5"/>
    <mergeCell ref="E1:E2"/>
    <mergeCell ref="F1:F2"/>
    <mergeCell ref="B18:L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58</v>
      </c>
      <c r="B1" s="6" t="s">
        <v>4</v>
      </c>
    </row>
    <row r="2" spans="1:2" x14ac:dyDescent="0.25">
      <c r="A2" s="6" t="s">
        <v>59</v>
      </c>
      <c r="B2" s="6" t="s">
        <v>60</v>
      </c>
    </row>
    <row r="3" spans="1:2" x14ac:dyDescent="0.25">
      <c r="A3" s="6" t="s">
        <v>61</v>
      </c>
      <c r="B3" s="6" t="s">
        <v>62</v>
      </c>
    </row>
    <row r="4" spans="1:2" x14ac:dyDescent="0.25">
      <c r="A4" s="6" t="s">
        <v>63</v>
      </c>
      <c r="B4" s="6" t="s">
        <v>6</v>
      </c>
    </row>
    <row r="5" spans="1:2" x14ac:dyDescent="0.25">
      <c r="A5" s="6" t="s">
        <v>64</v>
      </c>
      <c r="B5" s="6" t="s">
        <v>6</v>
      </c>
    </row>
    <row r="6" spans="1:2" x14ac:dyDescent="0.25">
      <c r="A6" s="6" t="s">
        <v>65</v>
      </c>
      <c r="B6" s="6">
        <v>21</v>
      </c>
    </row>
    <row r="7" spans="1:2" x14ac:dyDescent="0.25">
      <c r="A7" s="6" t="s">
        <v>66</v>
      </c>
      <c r="B7" s="6" t="s">
        <v>67</v>
      </c>
    </row>
    <row r="8" spans="1:2" x14ac:dyDescent="0.25">
      <c r="A8" s="6" t="s">
        <v>68</v>
      </c>
      <c r="B8" s="6" t="s">
        <v>69</v>
      </c>
    </row>
    <row r="9" spans="1:2" x14ac:dyDescent="0.25">
      <c r="A9" s="6" t="s">
        <v>70</v>
      </c>
      <c r="B9" s="6" t="s">
        <v>8</v>
      </c>
    </row>
    <row r="10" spans="1:2" x14ac:dyDescent="0.25">
      <c r="A10" s="6" t="s">
        <v>71</v>
      </c>
      <c r="B10" s="6" t="s">
        <v>2</v>
      </c>
    </row>
    <row r="11" spans="1:2" x14ac:dyDescent="0.25">
      <c r="A11" s="6" t="s">
        <v>72</v>
      </c>
      <c r="B11" s="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2025-09-27T13:43:50Z</dcterms:modified>
</cp:coreProperties>
</file>